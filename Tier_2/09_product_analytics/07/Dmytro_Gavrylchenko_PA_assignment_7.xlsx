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 Task 1" sheetId="1" state="visible" r:id="rId3"/>
    <sheet name=" Task 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<sst xmlns="http://schemas.openxmlformats.org/spreadsheetml/2006/main" count="45" uniqueCount="31">
  <si>
    <t xml:space="preserve">Using the logic from the class materials, calculate the confidence interval (95% confidence) for the conversion rate between Stage 1 → Stage 2 in the following example:</t>
  </si>
  <si>
    <t xml:space="preserve">Conversion rate — 0.45 (45%)</t>
  </si>
  <si>
    <t xml:space="preserve">Number of users in Stage 1 (n) = 8000.</t>
  </si>
  <si>
    <t xml:space="preserve"> The formula for calculating the conversion p with a confidence interval: p±z·√(p(1-p)/n)</t>
  </si>
  <si>
    <t xml:space="preserve"> where</t>
  </si>
  <si>
    <t xml:space="preserve"> p is the observed conversion rate;</t>
  </si>
  <si>
    <t xml:space="preserve"> n — the number of users at the current stage of the funnel;</t>
  </si>
  <si>
    <t xml:space="preserve"> z — The z-value corresponding to the desired confidence level (e.g., 1.96 for 95% confidence).</t>
  </si>
  <si>
    <t xml:space="preserve"> p</t>
  </si>
  <si>
    <t xml:space="preserve"> =</t>
  </si>
  <si>
    <t xml:space="preserve"> n</t>
  </si>
  <si>
    <t xml:space="preserve"> z</t>
  </si>
  <si>
    <t xml:space="preserve"> Standard error</t>
  </si>
  <si>
    <t xml:space="preserve"> Estimation error</t>
  </si>
  <si>
    <t xml:space="preserve">Confidence interval</t>
  </si>
  <si>
    <t xml:space="preserve"> ±</t>
  </si>
  <si>
    <t xml:space="preserve"> Conversion with confidence interval</t>
  </si>
  <si>
    <t xml:space="preserve"> The true conversion rate is 95% confident within</t>
  </si>
  <si>
    <t xml:space="preserve">and</t>
  </si>
  <si>
    <t xml:space="preserve"> Compare conversions between two test groups in an A/B test. Let's say you're running an A/B test on two groups of users to determine if the difference in conversion rates is statistically significant. The data for the test is:</t>
  </si>
  <si>
    <t xml:space="preserve"> Group A</t>
  </si>
  <si>
    <t xml:space="preserve">pa</t>
  </si>
  <si>
    <t xml:space="preserve">na</t>
  </si>
  <si>
    <t xml:space="preserve"> Group B</t>
  </si>
  <si>
    <t xml:space="preserve">pb</t>
  </si>
  <si>
    <t xml:space="preserve">nb</t>
  </si>
  <si>
    <t xml:space="preserve"> Aggregate conversion</t>
  </si>
  <si>
    <t xml:space="preserve"> For a 95% confidence level, the critical z-value is 1.96.</t>
  </si>
  <si>
    <t xml:space="preserve"> Because</t>
  </si>
  <si>
    <t xml:space="preserve"> &gt;</t>
  </si>
  <si>
    <t xml:space="preserve"> the difference between the conversion rates is statistically significant.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</si>
</sst>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0"/>
    <numFmt numFmtId="166" formatCode="0.000"/>
    <numFmt numFmtId="167" formatCode="0.0%"/>
    <numFmt numFmtId="168" formatCode="0.00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7.67"/>
    <col collapsed="false" customWidth="false" hidden="false" outlineLevel="0" max="6" min="2" style="1" width="11.53"/>
    <col collapsed="false" customWidth="true" hidden="false" outlineLevel="0" max="7" min="7" style="1" width="8.02"/>
    <col collapsed="false" customWidth="false" hidden="false" outlineLevel="0" max="16384" min="8" style="1" width="11.53"/>
  </cols>
  <sheetData>
    <row r="1" customFormat="false" ht="13.8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12.8" hidden="false" customHeight="false" outlineLevel="0" collapsed="false">
      <c r="A2" s="2"/>
      <c r="B2" s="2"/>
      <c r="C2" s="2"/>
      <c r="D2" s="2"/>
      <c r="E2" s="2"/>
      <c r="F2" s="2"/>
      <c r="G2" s="2"/>
    </row>
    <row r="3" customFormat="false" ht="12.8" hidden="false" customHeight="false" outlineLevel="0" collapsed="false">
      <c r="A3" s="3" t="s">
        <v>1</v>
      </c>
      <c r="B3" s="3"/>
      <c r="C3" s="3"/>
      <c r="D3" s="3"/>
      <c r="E3" s="3"/>
      <c r="F3" s="3"/>
      <c r="G3" s="3"/>
    </row>
    <row r="4" customFormat="false" ht="12.8" hidden="false" customHeight="false" outlineLevel="0" collapsed="false">
      <c r="A4" s="3" t="s">
        <v>2</v>
      </c>
      <c r="B4" s="3"/>
      <c r="C4" s="3"/>
      <c r="D4" s="3"/>
      <c r="E4" s="3"/>
      <c r="F4" s="3"/>
      <c r="G4" s="3"/>
    </row>
    <row r="5" customFormat="false" ht="12.8" hidden="false" customHeight="true" outlineLevel="0" collapsed="false">
      <c r="A5" s="3"/>
      <c r="B5" s="3"/>
      <c r="C5" s="3"/>
      <c r="D5" s="3"/>
      <c r="E5" s="3"/>
      <c r="F5" s="3"/>
      <c r="G5" s="3"/>
    </row>
    <row r="6" customFormat="false" ht="12.65" hidden="false" customHeight="false" outlineLevel="0" collapsed="false">
      <c r="A6" s="3" t="s">
        <v>3</v>
      </c>
      <c r="B6" s="3"/>
      <c r="C6" s="3"/>
      <c r="D6" s="3"/>
      <c r="E6" s="3"/>
      <c r="F6" s="3"/>
      <c r="G6" s="3"/>
    </row>
    <row r="7" customFormat="false" ht="12.8" hidden="false" customHeight="false" outlineLevel="0" collapsed="false">
      <c r="A7" s="3" t="s">
        <v>4</v>
      </c>
      <c r="B7" s="3"/>
      <c r="C7" s="3"/>
      <c r="D7" s="3"/>
      <c r="E7" s="3"/>
      <c r="F7" s="3"/>
      <c r="G7" s="3"/>
    </row>
    <row r="8" customFormat="false" ht="12.8" hidden="false" customHeight="false" outlineLevel="0" collapsed="false">
      <c r="A8" s="3" t="s">
        <v>5</v>
      </c>
      <c r="B8" s="3"/>
      <c r="C8" s="3"/>
      <c r="D8" s="3"/>
      <c r="E8" s="3"/>
      <c r="F8" s="3"/>
      <c r="G8" s="3"/>
    </row>
    <row r="9" customFormat="false" ht="12.8" hidden="false" customHeight="false" outlineLevel="0" collapsed="false">
      <c r="A9" s="3" t="s">
        <v>6</v>
      </c>
      <c r="B9" s="3"/>
      <c r="C9" s="3"/>
      <c r="D9" s="3"/>
      <c r="E9" s="3"/>
      <c r="F9" s="3"/>
      <c r="G9" s="3"/>
    </row>
    <row r="10" customFormat="false" ht="12.8" hidden="false" customHeight="false" outlineLevel="0" collapsed="false">
      <c r="A10" s="3" t="s">
        <v>7</v>
      </c>
      <c r="B10" s="3"/>
      <c r="C10" s="3"/>
      <c r="D10" s="3"/>
      <c r="E10" s="3"/>
      <c r="F10" s="3"/>
      <c r="G10" s="3"/>
    </row>
    <row r="12" customFormat="false" ht="12.8" hidden="false" customHeight="false" outlineLevel="0" collapsed="false">
      <c r="A12" s="4" t="s">
        <v>8</v>
      </c>
      <c r="B12" s="4" t="s">
        <v>9</v>
      </c>
      <c r="C12" s="1" t="n">
        <v>0.45</v>
      </c>
    </row>
    <row r="13" customFormat="false" ht="12.8" hidden="false" customHeight="false" outlineLevel="0" collapsed="false">
      <c r="A13" s="4" t="s">
        <v>10</v>
      </c>
      <c r="B13" s="4" t="s">
        <v>9</v>
      </c>
      <c r="C13" s="1" t="n">
        <v>8000</v>
      </c>
    </row>
    <row r="14" customFormat="false" ht="12.8" hidden="false" customHeight="false" outlineLevel="0" collapsed="false">
      <c r="A14" s="4" t="s">
        <v>11</v>
      </c>
      <c r="B14" s="4" t="s">
        <v>9</v>
      </c>
      <c r="C14" s="1" t="n">
        <v>1.96</v>
      </c>
    </row>
    <row r="16" customFormat="false" ht="12.8" hidden="false" customHeight="false" outlineLevel="0" collapsed="false">
      <c r="A16" s="1" t="s">
        <v>12</v>
      </c>
      <c r="B16" s="4" t="s">
        <v>9</v>
      </c>
      <c r="C16" s="5" t="n">
        <f aca="false">SQRT(C12*(1-C12)/C13)</f>
        <v>0.00556214886532175</v>
      </c>
    </row>
    <row r="18" customFormat="false" ht="12.8" hidden="false" customHeight="false" outlineLevel="0" collapsed="false">
      <c r="A18" s="1" t="s">
        <v>13</v>
      </c>
      <c r="B18" s="4" t="s">
        <v>9</v>
      </c>
      <c r="C18" s="6" t="n">
        <f aca="false">C14*C16</f>
        <v>0.0109018117760306</v>
      </c>
    </row>
    <row r="20" customFormat="false" ht="12.8" hidden="false" customHeight="false" outlineLevel="0" collapsed="false">
      <c r="A20" s="1" t="s">
        <v>14</v>
      </c>
      <c r="B20" s="4" t="s">
        <v>15</v>
      </c>
      <c r="C20" s="6" t="n">
        <f aca="false">C18</f>
        <v>0.0109018117760306</v>
      </c>
    </row>
    <row r="22" customFormat="false" ht="12.8" hidden="false" customHeight="false" outlineLevel="0" collapsed="false">
      <c r="A22" s="3" t="s">
        <v>16</v>
      </c>
      <c r="B22" s="3"/>
      <c r="C22" s="1" t="n">
        <f aca="false">C12</f>
        <v>0.45</v>
      </c>
      <c r="D22" s="4" t="s">
        <v>15</v>
      </c>
      <c r="E22" s="7" t="n">
        <f aca="false">C20</f>
        <v>0.0109018117760306</v>
      </c>
    </row>
    <row r="24" customFormat="false" ht="12.8" hidden="false" customHeight="false" outlineLevel="0" collapsed="false">
      <c r="A24" s="3" t="s">
        <v>17</v>
      </c>
      <c r="B24" s="3"/>
      <c r="C24" s="3"/>
      <c r="D24" s="8" t="n">
        <f aca="false">C22-E22</f>
        <v>0.439098188223969</v>
      </c>
      <c r="E24" s="4" t="s">
        <v>18</v>
      </c>
      <c r="F24" s="9" t="n">
        <f aca="false">C22+E22</f>
        <v>0.460901811776031</v>
      </c>
      <c r="G24" s="9"/>
    </row>
  </sheetData>
  <mergeCells count="11">
    <mergeCell ref="A1:G2"/>
    <mergeCell ref="A3:G3"/>
    <mergeCell ref="A4:G4"/>
    <mergeCell ref="A5:G5"/>
    <mergeCell ref="A6:G6"/>
    <mergeCell ref="A7:G7"/>
    <mergeCell ref="A8:G8"/>
    <mergeCell ref="A9:G9"/>
    <mergeCell ref="A10:G10"/>
    <mergeCell ref="A22:B22"/>
    <mergeCell ref="A24:C2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9" activeCellId="0" sqref="C29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16384" min="1" style="1" width="11.53"/>
  </cols>
  <sheetData>
    <row r="1" customFormat="false" ht="13.85" hidden="false" customHeight="true" outlineLevel="0" collapsed="false">
      <c r="A1" s="2" t="s">
        <v>19</v>
      </c>
      <c r="B1" s="2"/>
      <c r="C1" s="2"/>
      <c r="D1" s="2"/>
      <c r="E1" s="2"/>
      <c r="F1" s="2"/>
      <c r="G1" s="2"/>
    </row>
    <row r="2" customFormat="false" ht="12.8" hidden="false" customHeight="false" outlineLevel="0" collapsed="false">
      <c r="A2" s="2"/>
      <c r="B2" s="2"/>
      <c r="C2" s="2"/>
      <c r="D2" s="2"/>
      <c r="E2" s="2"/>
      <c r="F2" s="2"/>
      <c r="G2" s="2"/>
    </row>
    <row r="3" customFormat="false" ht="12.8" hidden="false" customHeight="false" outlineLevel="0" collapsed="false">
      <c r="A3" s="2"/>
      <c r="B3" s="2"/>
      <c r="C3" s="2"/>
      <c r="D3" s="2"/>
      <c r="E3" s="2"/>
      <c r="F3" s="2"/>
      <c r="G3" s="2"/>
    </row>
    <row r="5" customFormat="false" ht="12.8" hidden="false" customHeight="false" outlineLevel="0" collapsed="false">
      <c r="A5" s="1" t="s">
        <v>20</v>
      </c>
    </row>
    <row r="6" customFormat="false" ht="12.8" hidden="false" customHeight="false" outlineLevel="0" collapsed="false">
      <c r="A6" s="4" t="s">
        <v>21</v>
      </c>
      <c r="B6" s="4" t="s">
        <v>9</v>
      </c>
      <c r="C6" s="1" t="n">
        <v>0.55</v>
      </c>
    </row>
    <row r="7" customFormat="false" ht="12.8" hidden="false" customHeight="false" outlineLevel="0" collapsed="false">
      <c r="A7" s="4" t="s">
        <v>22</v>
      </c>
      <c r="B7" s="4" t="s">
        <v>9</v>
      </c>
      <c r="C7" s="1" t="n">
        <v>12000</v>
      </c>
    </row>
    <row r="9" customFormat="false" ht="12.8" hidden="false" customHeight="false" outlineLevel="0" collapsed="false">
      <c r="A9" s="1" t="s">
        <v>23</v>
      </c>
    </row>
    <row r="10" customFormat="false" ht="12.8" hidden="false" customHeight="false" outlineLevel="0" collapsed="false">
      <c r="A10" s="4" t="s">
        <v>24</v>
      </c>
      <c r="B10" s="4" t="s">
        <v>9</v>
      </c>
      <c r="C10" s="1" t="n">
        <v>0.58</v>
      </c>
    </row>
    <row r="11" customFormat="false" ht="12.8" hidden="false" customHeight="false" outlineLevel="0" collapsed="false">
      <c r="A11" s="4" t="s">
        <v>25</v>
      </c>
      <c r="B11" s="4" t="s">
        <v>9</v>
      </c>
      <c r="C11" s="1" t="n">
        <v>12000</v>
      </c>
    </row>
    <row r="13" customFormat="false" ht="12.8" hidden="false" customHeight="false" outlineLevel="0" collapsed="false">
      <c r="A13" s="10" t="s">
        <v>26</v>
      </c>
      <c r="B13" s="10"/>
      <c r="C13" s="1" t="n">
        <f aca="false">(C6*C7+C10*C11)/(C7+C11)</f>
        <v>0.565</v>
      </c>
    </row>
    <row r="15" customFormat="false" ht="12.8" hidden="false" customHeight="false" outlineLevel="0" collapsed="false">
      <c r="A15" s="10" t="s">
        <v>12</v>
      </c>
      <c r="B15" s="10"/>
      <c r="C15" s="5" t="n">
        <f aca="false">SQRT(C13*(1-C13)*(1/C7+1/C11))</f>
        <v>0.00640019530951986</v>
      </c>
    </row>
    <row r="17" customFormat="false" ht="12.8" hidden="false" customHeight="false" outlineLevel="0" collapsed="false">
      <c r="A17" s="4" t="s">
        <v>11</v>
      </c>
      <c r="B17" s="4" t="s">
        <v>9</v>
      </c>
      <c r="C17" s="11" t="n">
        <f aca="false">(C10-C6)/C15</f>
        <v>4.68735695540055</v>
      </c>
    </row>
    <row r="19" customFormat="false" ht="12.8" hidden="false" customHeight="false" outlineLevel="0" collapsed="false">
      <c r="A19" s="3" t="s">
        <v>27</v>
      </c>
      <c r="B19" s="3"/>
      <c r="C19" s="3"/>
      <c r="D19" s="3"/>
    </row>
    <row r="20" customFormat="false" ht="12.8" hidden="false" customHeight="false" outlineLevel="0" collapsed="false">
      <c r="A20" s="1" t="s">
        <v>28</v>
      </c>
      <c r="B20" s="4" t="s">
        <v>11</v>
      </c>
      <c r="C20" s="4" t="s">
        <v>9</v>
      </c>
      <c r="D20" s="12" t="n">
        <f aca="false">C17</f>
        <v>4.68735695540055</v>
      </c>
      <c r="E20" s="4" t="s">
        <v>29</v>
      </c>
      <c r="F20" s="4" t="n">
        <v>1.96</v>
      </c>
    </row>
    <row r="21" customFormat="false" ht="12.8" hidden="false" customHeight="false" outlineLevel="0" collapsed="false">
      <c r="A21" s="3" t="s">
        <v>30</v>
      </c>
      <c r="B21" s="3"/>
      <c r="C21" s="3"/>
      <c r="D21" s="3"/>
      <c r="E21" s="3"/>
      <c r="F21" s="3"/>
    </row>
  </sheetData>
  <mergeCells count="5">
    <mergeCell ref="A1:G3"/>
    <mergeCell ref="A13:B13"/>
    <mergeCell ref="A15:B15"/>
    <mergeCell ref="A19:D19"/>
    <mergeCell ref="A21:F2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2025-08-04T22:34:25Z</dcterms:created>
  <dc:creator/>
  <dc:description/>
  <dc:language>en-GB</dc:language>
  <cp:lastModifiedBy/>
  <dcterms:modified xsi:type="dcterms:W3CDTF">2025-08-04T23:32:33Z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